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D:\dow\"/>
    </mc:Choice>
  </mc:AlternateContent>
  <xr:revisionPtr revIDLastSave="0" documentId="13_ncr:1_{0C626018-0B70-41F8-8AA3-42726ADFBA84}" xr6:coauthVersionLast="47" xr6:coauthVersionMax="47" xr10:uidLastSave="{00000000-0000-0000-0000-000000000000}"/>
  <bookViews>
    <workbookView xWindow="-120" yWindow="-120" windowWidth="29040" windowHeight="15720" firstSheet="2" activeTab="9" xr2:uid="{00000000-000D-0000-FFFF-FFFF00000000}"/>
  </bookViews>
  <sheets>
    <sheet name="Tên dự án" sheetId="1" r:id="rId1"/>
    <sheet name="Người bảo trợ dự án" sheetId="2" r:id="rId2"/>
    <sheet name="Người quản lý dự án" sheetId="4" r:id="rId3"/>
    <sheet name="Mục tiêu đự án" sheetId="5" r:id="rId4"/>
    <sheet name="Phạm vi dự ans5_6" sheetId="6" r:id="rId5"/>
    <sheet name="Thời gian dự kiến" sheetId="7" r:id="rId6"/>
    <sheet name="Chi phí" sheetId="8" r:id="rId7"/>
    <sheet name="Ràng buộc" sheetId="9" r:id="rId8"/>
    <sheet name="rủi ro" sheetId="10" r:id="rId9"/>
    <sheet name="Các bên liên quan" sheetId="11"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8" l="1"/>
  <c r="C9" i="8" s="1"/>
</calcChain>
</file>

<file path=xl/sharedStrings.xml><?xml version="1.0" encoding="utf-8"?>
<sst xmlns="http://schemas.openxmlformats.org/spreadsheetml/2006/main" count="255" uniqueCount="169">
  <si>
    <t>Mã số tài liệu</t>
  </si>
  <si>
    <t>171020057789</t>
  </si>
  <si>
    <t>Tên dự án</t>
  </si>
  <si>
    <t>web badminton</t>
  </si>
  <si>
    <t>Mô tả dự án</t>
  </si>
  <si>
    <t>Phát triển hệ thống
 web bán đồ cầu lông</t>
  </si>
  <si>
    <t>Người cập nhật</t>
  </si>
  <si>
    <t>PM020A</t>
  </si>
  <si>
    <t>Thế Anh</t>
  </si>
  <si>
    <t>Phiên bản</t>
  </si>
  <si>
    <t>Tên người bảo trợ</t>
  </si>
  <si>
    <t>Pink Shark</t>
  </si>
  <si>
    <t>Mô tả</t>
  </si>
  <si>
    <t>-Nhà đầu tư kim cương
-số điện thoại cơ quan: 0993333875
-số điện thoại cá nhân: 0916355891
-Cao Lỗ, phường 14,quận 8,HCM</t>
  </si>
  <si>
    <t>DH52300025 Bùi Thế Anh</t>
  </si>
  <si>
    <t>STT</t>
  </si>
  <si>
    <t>Nhà bảo trợ 
(tên nhà bảo trợ)</t>
  </si>
  <si>
    <t>Tư cách
(loại nhà đầu tư)</t>
  </si>
  <si>
    <t>Số điện thoại</t>
  </si>
  <si>
    <t>Mail</t>
  </si>
  <si>
    <t>Địa chỉ liên hệ</t>
  </si>
  <si>
    <t xml:space="preserve">Phiên bản </t>
  </si>
  <si>
    <t>Nhà tài trợ kim cương 70% vốn</t>
  </si>
  <si>
    <t>xxxxxxxxxx</t>
  </si>
  <si>
    <t>khóa</t>
  </si>
  <si>
    <t>80 cao lỗ ,quận 8,HCM</t>
  </si>
  <si>
    <t>Nhu Cầu</t>
  </si>
  <si>
    <t>Xây dựng 1 hệ thống bán hàng đồ cầu lông dựa trên mong muốn của khách hàng</t>
  </si>
  <si>
    <t>....</t>
  </si>
  <si>
    <t>...</t>
  </si>
  <si>
    <t>Nhu cầu</t>
  </si>
  <si>
    <t>Tên PM</t>
  </si>
  <si>
    <t>Bùi Thế Anh</t>
  </si>
  <si>
    <t>-chức vụ PM
-học vị.....
-thành tích cá nhân....
-mail jdjdjdj@gmail.com
-số điện thoại 0916355891</t>
  </si>
  <si>
    <t>Ngày tiếp nhận dự án</t>
  </si>
  <si>
    <t>11/2//2026</t>
  </si>
  <si>
    <t>phiên bản</t>
  </si>
  <si>
    <t>NGÀY TIẾP
 NHẬN DỰ ÁN</t>
  </si>
  <si>
    <t>Chức vụ</t>
  </si>
  <si>
    <t>học vị</t>
  </si>
  <si>
    <t>Thành tích</t>
  </si>
  <si>
    <t>Só điện thoại</t>
  </si>
  <si>
    <t>Đặc quyền</t>
  </si>
  <si>
    <t>PM</t>
  </si>
  <si>
    <t>không</t>
  </si>
  <si>
    <t>jsjsjsjs@gmail.com</t>
  </si>
  <si>
    <t>80 Cao lỗ</t>
  </si>
  <si>
    <t>không có</t>
  </si>
  <si>
    <t>Mục tiêu tổng quát</t>
  </si>
  <si>
    <t>Tạo ra 1 badminton sales website</t>
  </si>
  <si>
    <t>Chi tiết</t>
  </si>
  <si>
    <t>mục tiêu</t>
  </si>
  <si>
    <t>Xây dựng dữ  liệu đồ cầu lông</t>
  </si>
  <si>
    <t>Xây dựng cơ chế thu thập thông tin khách hàng muốn</t>
  </si>
  <si>
    <t>Cung cấp dịch vụ hỗ trợ  thanh toán cho khách hàng</t>
  </si>
  <si>
    <t>Chức năng đánh giá và bình luận về sản phẩm</t>
  </si>
  <si>
    <t>Gia đoạn 1</t>
  </si>
  <si>
    <t>Gia đoạn 2</t>
  </si>
  <si>
    <t>Gia đoạn 3</t>
  </si>
  <si>
    <t>Người cập nhật:</t>
  </si>
  <si>
    <t>Địa lý - không gian</t>
  </si>
  <si>
    <t>"Công nghệ"</t>
  </si>
  <si>
    <t>Chức năng</t>
  </si>
  <si>
    <t>Triển khai trên Web</t>
  </si>
  <si>
    <t xml:space="preserve">Web: Hoàn thiện &amp; fix Bug
</t>
  </si>
  <si>
    <t>App Android 
App IOS
App Windows phone
App desktop</t>
  </si>
  <si>
    <t>P\{*}</t>
  </si>
  <si>
    <t>U là tập các quốc gia.</t>
  </si>
  <si>
    <t>P là tập vũ trụ các chức năng của nền tảng WEB</t>
  </si>
  <si>
    <r>
      <rPr>
        <b/>
        <sz val="11"/>
        <color theme="1"/>
        <rFont val="Calibri"/>
        <family val="2"/>
        <scheme val="minor"/>
      </rPr>
      <t xml:space="preserve">Địa lý: </t>
    </r>
    <r>
      <rPr>
        <sz val="11"/>
        <color theme="1"/>
        <rFont val="Calibri"/>
        <charset val="134"/>
        <scheme val="minor"/>
      </rPr>
      <t xml:space="preserve">dịch vụ sẽ triển khai tại Việt Nam.
</t>
    </r>
    <r>
      <rPr>
        <b/>
        <sz val="11"/>
        <color theme="1"/>
        <rFont val="Calibri"/>
        <family val="2"/>
        <scheme val="minor"/>
      </rPr>
      <t>Nền tảng số:</t>
    </r>
    <r>
      <rPr>
        <sz val="11"/>
        <color theme="1"/>
        <rFont val="Calibri"/>
        <charset val="134"/>
        <scheme val="minor"/>
      </rPr>
      <t xml:space="preserve"> sử dụng API google &amp; chạy quảng cáo trên nền tảng google search</t>
    </r>
  </si>
  <si>
    <r>
      <rPr>
        <b/>
        <sz val="11"/>
        <color theme="1"/>
        <rFont val="Calibri"/>
        <family val="2"/>
        <scheme val="minor"/>
      </rPr>
      <t>Địa lý:</t>
    </r>
    <r>
      <rPr>
        <sz val="11"/>
        <color theme="1"/>
        <rFont val="Calibri"/>
        <charset val="134"/>
        <scheme val="minor"/>
      </rPr>
      <t xml:space="preserve"> U\{Việt}
</t>
    </r>
    <r>
      <rPr>
        <b/>
        <sz val="11"/>
        <color theme="1"/>
        <rFont val="Calibri"/>
        <family val="2"/>
        <scheme val="minor"/>
      </rPr>
      <t xml:space="preserve">Nền tảng số: </t>
    </r>
    <r>
      <rPr>
        <sz val="11"/>
        <color theme="1"/>
        <rFont val="Calibri"/>
        <charset val="134"/>
        <scheme val="minor"/>
      </rPr>
      <t>facebook &amp; zingme</t>
    </r>
  </si>
  <si>
    <t>Thuộc phạm vi dự án</t>
  </si>
  <si>
    <t>Không thuôc phạm vi dự án</t>
  </si>
  <si>
    <t>Phạm vi Badminton sales website</t>
  </si>
  <si>
    <r>
      <rPr>
        <b/>
        <sz val="11"/>
        <color theme="1"/>
        <rFont val="Calibri"/>
        <family val="2"/>
        <scheme val="minor"/>
      </rPr>
      <t>Chức năng phải xây dựng cho Web (*)</t>
    </r>
    <r>
      <rPr>
        <sz val="11"/>
        <color theme="1"/>
        <rFont val="Calibri"/>
        <charset val="134"/>
        <scheme val="minor"/>
      </rPr>
      <t xml:space="preserve">
a.	 Mua hàng &amp; Thanh toán
b.	Quản lý tài khoản
c.	Tương tác với sản phẩm
d.	Thông báo &amp; Email
f.	Ghi nhận lại đánh giá của khách hàng về sản phẩm 
g.	Trải nghiệm người dùng
h.	Hỗ trợ đa ngôn ngữ (có thể thay đổi ngôn ngữ cho trang web). Ngôn ngữ mặc định là tiếng Việt</t>
    </r>
  </si>
  <si>
    <r>
      <rPr>
        <b/>
        <sz val="11"/>
        <color theme="1"/>
        <rFont val="Calibri"/>
        <family val="2"/>
        <scheme val="minor"/>
      </rPr>
      <t xml:space="preserve">Địa lý: </t>
    </r>
    <r>
      <rPr>
        <sz val="11"/>
        <color theme="1"/>
        <rFont val="Calibri"/>
        <charset val="134"/>
        <scheme val="minor"/>
      </rPr>
      <t xml:space="preserve">dịch vụ sẽ triển khai tại Việt Nam 
</t>
    </r>
    <r>
      <rPr>
        <b/>
        <sz val="11"/>
        <color theme="1"/>
        <rFont val="Calibri"/>
        <family val="2"/>
        <scheme val="minor"/>
      </rPr>
      <t>Nền tảng số:</t>
    </r>
    <r>
      <rPr>
        <sz val="11"/>
        <color theme="1"/>
        <rFont val="Calibri"/>
        <charset val="134"/>
        <scheme val="minor"/>
      </rPr>
      <t xml:space="preserve"> sử dụng API google &amp; chạy quảng cáo trên nền tảng google search
facebook</t>
    </r>
  </si>
  <si>
    <t xml:space="preserve">Triển khai trên Web
</t>
  </si>
  <si>
    <r>
      <rPr>
        <b/>
        <sz val="11"/>
        <color theme="1"/>
        <rFont val="Calibri"/>
        <family val="2"/>
        <scheme val="minor"/>
      </rPr>
      <t>Web:</t>
    </r>
    <r>
      <rPr>
        <sz val="11"/>
        <color theme="1"/>
        <rFont val="Calibri"/>
        <charset val="134"/>
        <scheme val="minor"/>
      </rPr>
      <t xml:space="preserve">
e.	Chia sẻ với bạn bè qua facebook, twitter.
</t>
    </r>
  </si>
  <si>
    <r>
      <rPr>
        <b/>
        <sz val="11"/>
        <color theme="1"/>
        <rFont val="Calibri"/>
        <family val="2"/>
        <scheme val="minor"/>
      </rPr>
      <t>Địa lý:</t>
    </r>
    <r>
      <rPr>
        <sz val="11"/>
        <color theme="1"/>
        <rFont val="Calibri"/>
        <charset val="134"/>
        <scheme val="minor"/>
      </rPr>
      <t xml:space="preserve"> U\{Việt}
</t>
    </r>
    <r>
      <rPr>
        <b/>
        <sz val="11"/>
        <color theme="1"/>
        <rFont val="Calibri"/>
        <family val="2"/>
        <scheme val="minor"/>
      </rPr>
      <t xml:space="preserve">Nền tảng số: </t>
    </r>
    <r>
      <rPr>
        <sz val="11"/>
        <color theme="1"/>
        <rFont val="Calibri"/>
        <charset val="134"/>
        <scheme val="minor"/>
      </rPr>
      <t xml:space="preserve"> zingme</t>
    </r>
  </si>
  <si>
    <t>Tổng thể dự án</t>
  </si>
  <si>
    <t>Thời gian</t>
  </si>
  <si>
    <t>Đơn vị thời gian</t>
  </si>
  <si>
    <t>Giai đoạn 01</t>
  </si>
  <si>
    <t>năm</t>
  </si>
  <si>
    <t>Giai đoạn 02</t>
  </si>
  <si>
    <t>tháng</t>
  </si>
  <si>
    <t>Các mốc sự kiện quan trọng cho Giai đoạn 1</t>
  </si>
  <si>
    <t>1 năm triển khai</t>
  </si>
  <si>
    <t>tính ngày làm việc (không tính thứ 7 và chủ nhật)</t>
  </si>
  <si>
    <t>stt</t>
  </si>
  <si>
    <t xml:space="preserve">Sự kiện </t>
  </si>
  <si>
    <t>ghi chú</t>
  </si>
  <si>
    <t>Khởi động giai đoạn 1</t>
  </si>
  <si>
    <t>ngày</t>
  </si>
  <si>
    <t>Lập kế hoạch thực hiện giai đoạn 1</t>
  </si>
  <si>
    <t>Tổ chức</t>
  </si>
  <si>
    <t>Phân tích chức năng Web</t>
  </si>
  <si>
    <t>Phân tích thành phần dự liệu</t>
  </si>
  <si>
    <t>Triển khai server- host web - API</t>
  </si>
  <si>
    <t>Cài đặt backend</t>
  </si>
  <si>
    <t>Thiết kế layout</t>
  </si>
  <si>
    <t>Cài đặt frontend</t>
  </si>
  <si>
    <t>Triển khai WEB</t>
  </si>
  <si>
    <t>Vận hành dịch vụ badminton sales trên web</t>
  </si>
  <si>
    <t>Thu thập và xây dụng dữ liệu đồ xu hướng</t>
  </si>
  <si>
    <t>Các mốc sự kiện quan trọng cho Giai đoạn 2</t>
  </si>
  <si>
    <t>sự kiện</t>
  </si>
  <si>
    <t>thời gian</t>
  </si>
  <si>
    <t>đơn vị thời gian</t>
  </si>
  <si>
    <t>2 tháng triển khai</t>
  </si>
  <si>
    <t>hoàn thiện web</t>
  </si>
  <si>
    <t>Người cập nhật:Thế Anh</t>
  </si>
  <si>
    <t>Chi phí phát triển WEB</t>
  </si>
  <si>
    <t>Nội dung giải ngân</t>
  </si>
  <si>
    <t>Phân bổ</t>
  </si>
  <si>
    <t>Đơn vị</t>
  </si>
  <si>
    <t>Web</t>
  </si>
  <si>
    <t>VNĐ</t>
  </si>
  <si>
    <t xml:space="preserve">Thu Thập &amp; xây dựng ngư liệu </t>
  </si>
  <si>
    <t xml:space="preserve">Quản lý </t>
  </si>
  <si>
    <t>Vận hành</t>
  </si>
  <si>
    <t>Chi phí rủi ro</t>
  </si>
  <si>
    <t>Dự án chịu chi phối của:</t>
  </si>
  <si>
    <t>chi chú</t>
  </si>
  <si>
    <t>Ràng buộc về tài chính</t>
  </si>
  <si>
    <t>ràng buộc về chính sách 
&amp; pháp luật</t>
  </si>
  <si>
    <t xml:space="preserve">Mã </t>
  </si>
  <si>
    <t>Tên</t>
  </si>
  <si>
    <t>R1</t>
  </si>
  <si>
    <t>Biến động về nhân lực</t>
  </si>
  <si>
    <t>Nhân viên nghỉ do:
- Ốm
- Chuyện gia đình
- Nghỉ Việc</t>
  </si>
  <si>
    <t>R2</t>
  </si>
  <si>
    <t>Phân tích yêu cầu 
khách hàng</t>
  </si>
  <si>
    <t>- Phân tích sai yêu cầu của khách hàng.
- Phân tích chưa sát ý của khách hàng</t>
  </si>
  <si>
    <t>R3</t>
  </si>
  <si>
    <t>Kĩ năng nhân viên</t>
  </si>
  <si>
    <t>Nắm bắt công nghệ mới 
không tốt</t>
  </si>
  <si>
    <t>R4</t>
  </si>
  <si>
    <t>Phát trinh bug khi triển 
khai dự án.</t>
  </si>
  <si>
    <t>Chương trình kiểm thử ok,
 nhưng khi triển hai hệ thống thì phát sinh lỗi. Thường lỗi kiên quan đến hiệu năng va độ tin cậy.</t>
  </si>
  <si>
    <t>R5</t>
  </si>
  <si>
    <t>Thay đổi yêu cầu
 giao diện</t>
  </si>
  <si>
    <t>Khách hàng thường xuyên
yêu cầu chỉnh sửa giao diện theo ý thích nhất thời.</t>
  </si>
  <si>
    <t>R6</t>
  </si>
  <si>
    <t>Thay đồi yêu cầu chức 
năng và phi chức năng</t>
  </si>
  <si>
    <t>Thêm - bỏ đi chức năng.
Yêu cầu phát triển hệ. thống trên nền tảng công nghệ khác</t>
  </si>
  <si>
    <t>R7</t>
  </si>
  <si>
    <t>Host</t>
  </si>
  <si>
    <t>Host không hỗ trợ công 
nghệ cho hệ thống đang phát triển</t>
  </si>
  <si>
    <t>R8</t>
  </si>
  <si>
    <t>Phát sinh giữa Server và 
Client chủ yếu liên quan đến giao diện.</t>
  </si>
  <si>
    <t>R9</t>
  </si>
  <si>
    <t>Thao tác sai khi sử dụng
 hệ thống</t>
  </si>
  <si>
    <t>Nhân viên Travel Plannig 
thao tác sai gây ra lỗi</t>
  </si>
  <si>
    <t>R10</t>
  </si>
  <si>
    <t>Phối hợp làm việc giữa 
hai nhóm 1-2</t>
  </si>
  <si>
    <t>Cung cấp sai thông tin
Lịch làm việc khác nhau.
...</t>
  </si>
  <si>
    <t>R11</t>
  </si>
  <si>
    <t>Nghỉ lễ</t>
  </si>
  <si>
    <t>Nhân viên bận việc gia đình</t>
  </si>
  <si>
    <t>Phiên bản 0.1</t>
  </si>
  <si>
    <t>xung đột hệ thống</t>
  </si>
  <si>
    <t>tên</t>
  </si>
  <si>
    <t>Giới thiêu</t>
  </si>
  <si>
    <t>thông tin liên lạc</t>
  </si>
  <si>
    <t>Dự án thành công</t>
  </si>
  <si>
    <t>Dự án thất bại</t>
  </si>
  <si>
    <t>tác đông tiêu cực đến dự án</t>
  </si>
  <si>
    <t>Tác động tiêu cực đến dự 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</si>
</sst>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1"/>
      <color theme="1"/>
      <name val="Calibri"/>
      <charset val="134"/>
      <scheme val="minor"/>
    </font>
    <font>
      <sz val="11"/>
      <color theme="1"/>
      <name val="Calibri"/>
      <family val="2"/>
      <scheme val="minor"/>
    </font>
    <font>
      <sz val="11"/>
      <color theme="4"/>
      <name val="Calibri"/>
      <charset val="134"/>
      <scheme val="minor"/>
    </font>
    <font>
      <u/>
      <sz val="11"/>
      <color rgb="FF0000FF"/>
      <name val="Calibri"/>
      <scheme val="minor"/>
    </font>
    <font>
      <b/>
      <sz val="11"/>
      <color theme="1"/>
      <name val="Calibri"/>
      <family val="2"/>
      <scheme val="minor"/>
    </font>
    <font>
      <b/>
      <i/>
      <sz val="11"/>
      <color theme="1"/>
      <name val="Calibri"/>
      <family val="2"/>
      <scheme val="minor"/>
    </font>
    <font>
      <sz val="11"/>
      <color theme="0"/>
      <name val="Calibri"/>
      <family val="2"/>
      <scheme val="minor"/>
    </font>
    <font>
      <b/>
      <sz val="13"/>
      <color theme="1"/>
      <name val="Calibri Light"/>
      <family val="1"/>
      <charset val="163"/>
      <scheme val="major"/>
    </font>
    <font>
      <sz val="13"/>
      <color theme="1"/>
      <name val="Calibri Light"/>
      <family val="1"/>
      <charset val="163"/>
      <scheme val="major"/>
    </font>
  </fonts>
  <fills count="4">
    <fill>
      <patternFill patternType="none"/>
    </fill>
    <fill>
      <patternFill patternType="gray125"/>
    </fill>
    <fill>
      <patternFill patternType="solid">
        <fgColor theme="0" tint="-0.14999847407452621"/>
        <bgColor indexed="64"/>
      </patternFill>
    </fill>
    <fill>
      <patternFill patternType="solid">
        <fgColor theme="9" tint="0.39997558519241921"/>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thin">
        <color indexed="64"/>
      </bottom>
      <diagonal/>
    </border>
    <border>
      <left style="thin">
        <color auto="1"/>
      </left>
      <right style="thin">
        <color auto="1"/>
      </right>
      <top style="thin">
        <color auto="1"/>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64">
    <xf numFmtId="0" fontId="0" fillId="0" borderId="0" xfId="0">
      <alignment vertical="center"/>
    </xf>
    <xf numFmtId="0" fontId="0" fillId="0" borderId="1" xfId="0" applyBorder="1">
      <alignment vertical="center"/>
    </xf>
    <xf numFmtId="0" fontId="2" fillId="0" borderId="1" xfId="0" applyFont="1"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1" xfId="0" applyBorder="1" applyAlignment="1">
      <alignment vertical="center" wrapText="1"/>
    </xf>
    <xf numFmtId="0" fontId="0" fillId="0" borderId="0" xfId="0" applyAlignment="1">
      <alignment vertical="center" wrapText="1"/>
    </xf>
    <xf numFmtId="14" fontId="0" fillId="0" borderId="0" xfId="0" applyNumberFormat="1">
      <alignment vertical="center"/>
    </xf>
    <xf numFmtId="0" fontId="3" fillId="0" borderId="0" xfId="1">
      <alignment vertical="center"/>
    </xf>
    <xf numFmtId="0" fontId="0" fillId="0" borderId="1" xfId="0" applyBorder="1" applyAlignment="1">
      <alignment horizontal="left" vertical="top"/>
    </xf>
    <xf numFmtId="0" fontId="0" fillId="0" borderId="1" xfId="0" applyBorder="1" applyAlignment="1">
      <alignment horizontal="right" vertical="center"/>
    </xf>
    <xf numFmtId="0" fontId="0" fillId="0" borderId="1" xfId="0" quotePrefix="1" applyBorder="1" applyAlignment="1">
      <alignment horizontal="right" vertical="center"/>
    </xf>
    <xf numFmtId="0" fontId="0" fillId="0" borderId="1" xfId="0" quotePrefix="1" applyBorder="1" applyAlignment="1">
      <alignment vertical="center" wrapText="1"/>
    </xf>
    <xf numFmtId="0" fontId="0" fillId="0" borderId="1" xfId="0" quotePrefix="1" applyBorder="1">
      <alignment vertical="center"/>
    </xf>
    <xf numFmtId="0" fontId="4" fillId="0" borderId="6" xfId="0" applyFont="1" applyBorder="1" applyAlignment="1"/>
    <xf numFmtId="0" fontId="0" fillId="0" borderId="1" xfId="0" applyBorder="1" applyAlignment="1"/>
    <xf numFmtId="0" fontId="0" fillId="0" borderId="1" xfId="0" applyBorder="1" applyAlignment="1">
      <alignment horizontal="center" vertical="center"/>
    </xf>
    <xf numFmtId="0" fontId="0" fillId="0" borderId="0" xfId="0" applyAlignment="1">
      <alignment horizontal="center"/>
    </xf>
    <xf numFmtId="0" fontId="4" fillId="0" borderId="7" xfId="0" applyFont="1" applyBorder="1" applyAlignment="1"/>
    <xf numFmtId="0" fontId="4" fillId="0" borderId="8" xfId="0" applyFont="1" applyBorder="1" applyAlignment="1"/>
    <xf numFmtId="0" fontId="0" fillId="0" borderId="0" xfId="0" applyAlignment="1"/>
    <xf numFmtId="0" fontId="0" fillId="0" borderId="0" xfId="0" quotePrefix="1" applyAlignment="1"/>
    <xf numFmtId="0" fontId="0" fillId="0" borderId="1" xfId="0" applyBorder="1" applyAlignment="1">
      <alignment horizontal="right"/>
    </xf>
    <xf numFmtId="0" fontId="0" fillId="0" borderId="1" xfId="0" applyBorder="1" applyAlignment="1">
      <alignment wrapText="1"/>
    </xf>
    <xf numFmtId="0" fontId="0" fillId="0" borderId="1" xfId="0" applyBorder="1" applyAlignment="1">
      <alignment vertical="top" wrapText="1"/>
    </xf>
    <xf numFmtId="0" fontId="0" fillId="2" borderId="1" xfId="0" applyFill="1" applyBorder="1" applyAlignment="1">
      <alignment vertical="top" wrapText="1"/>
    </xf>
    <xf numFmtId="0" fontId="0" fillId="2" borderId="1" xfId="0" applyFill="1" applyBorder="1" applyAlignment="1">
      <alignment vertical="top"/>
    </xf>
    <xf numFmtId="0" fontId="0" fillId="2" borderId="1" xfId="0" applyFill="1" applyBorder="1" applyAlignment="1">
      <alignment wrapText="1"/>
    </xf>
    <xf numFmtId="0" fontId="0" fillId="2" borderId="1" xfId="0" applyFill="1" applyBorder="1" applyAlignment="1"/>
    <xf numFmtId="0" fontId="1" fillId="0" borderId="1" xfId="0" applyFont="1" applyBorder="1" applyAlignment="1">
      <alignment wrapText="1"/>
    </xf>
    <xf numFmtId="0" fontId="1" fillId="2" borderId="1" xfId="0" applyFont="1" applyFill="1" applyBorder="1" applyAlignment="1">
      <alignment vertical="top" wrapText="1"/>
    </xf>
    <xf numFmtId="0" fontId="5" fillId="0" borderId="1" xfId="0" applyFont="1" applyBorder="1" applyAlignment="1">
      <alignment horizontal="center"/>
    </xf>
    <xf numFmtId="0" fontId="5" fillId="2" borderId="1" xfId="0" applyFont="1" applyFill="1" applyBorder="1" applyAlignment="1">
      <alignment horizontal="center"/>
    </xf>
    <xf numFmtId="0" fontId="4" fillId="0" borderId="7" xfId="0" applyFont="1" applyBorder="1" applyAlignment="1">
      <alignment horizontal="center"/>
    </xf>
    <xf numFmtId="0" fontId="4" fillId="0" borderId="0" xfId="0" applyFont="1" applyAlignment="1">
      <alignment horizontal="center"/>
    </xf>
    <xf numFmtId="0" fontId="4" fillId="0" borderId="0" xfId="0" applyFont="1" applyAlignment="1"/>
    <xf numFmtId="0" fontId="0" fillId="0" borderId="0" xfId="0" applyFill="1" applyBorder="1" applyAlignment="1">
      <alignment horizontal="right"/>
    </xf>
    <xf numFmtId="0" fontId="4" fillId="0" borderId="0" xfId="0" applyFont="1" applyAlignment="1">
      <alignment horizontal="left" vertical="top"/>
    </xf>
    <xf numFmtId="0" fontId="0" fillId="0" borderId="9" xfId="0" applyBorder="1" applyAlignment="1">
      <alignment horizontal="left"/>
    </xf>
    <xf numFmtId="0" fontId="0" fillId="0" borderId="9" xfId="0" applyBorder="1" applyAlignment="1"/>
    <xf numFmtId="0" fontId="0" fillId="0" borderId="10" xfId="0" applyBorder="1" applyAlignment="1"/>
    <xf numFmtId="0" fontId="0" fillId="0" borderId="0" xfId="0" applyBorder="1" applyAlignment="1"/>
    <xf numFmtId="0" fontId="4" fillId="0" borderId="1" xfId="0" applyFont="1" applyBorder="1" applyAlignment="1"/>
    <xf numFmtId="0" fontId="6" fillId="0" borderId="0" xfId="0" applyFont="1" applyAlignment="1"/>
    <xf numFmtId="0" fontId="0" fillId="0" borderId="10" xfId="0" applyBorder="1" applyAlignment="1">
      <alignment horizontal="center" vertical="top"/>
    </xf>
    <xf numFmtId="0" fontId="0" fillId="0" borderId="11" xfId="0" applyBorder="1" applyAlignment="1">
      <alignment horizontal="center" vertical="top"/>
    </xf>
    <xf numFmtId="0" fontId="0" fillId="0" borderId="12" xfId="0" applyBorder="1" applyAlignment="1">
      <alignment horizontal="center" vertical="top"/>
    </xf>
    <xf numFmtId="0" fontId="0" fillId="0" borderId="10" xfId="0" applyBorder="1" applyAlignment="1">
      <alignment horizontal="center" vertical="top" wrapText="1"/>
    </xf>
    <xf numFmtId="0" fontId="7" fillId="3" borderId="1" xfId="0" applyFont="1" applyFill="1" applyBorder="1" applyAlignment="1">
      <alignment horizontal="center" vertical="center"/>
    </xf>
    <xf numFmtId="0" fontId="8" fillId="0" borderId="1" xfId="0" applyFont="1" applyBorder="1" applyAlignment="1">
      <alignment horizontal="center" vertical="center"/>
    </xf>
    <xf numFmtId="0" fontId="8" fillId="0" borderId="1" xfId="0" applyFont="1" applyBorder="1">
      <alignment vertical="center"/>
    </xf>
    <xf numFmtId="0" fontId="8" fillId="0" borderId="1" xfId="0" applyFont="1" applyBorder="1" applyAlignment="1">
      <alignment vertical="center" wrapText="1"/>
    </xf>
    <xf numFmtId="0" fontId="8" fillId="0" borderId="1" xfId="0" quotePrefix="1" applyFont="1" applyBorder="1" applyAlignment="1">
      <alignment vertical="center" wrapText="1"/>
    </xf>
    <xf numFmtId="0" fontId="8" fillId="0" borderId="1" xfId="0" applyFont="1" applyBorder="1" applyAlignment="1">
      <alignment horizontal="center"/>
    </xf>
    <xf numFmtId="0" fontId="8" fillId="0" borderId="1" xfId="0" applyFont="1" applyBorder="1" applyAlignment="1"/>
    <xf numFmtId="0" fontId="0" fillId="0" borderId="5" xfId="0" applyBorder="1" applyAlignment="1"/>
    <xf numFmtId="0" fontId="0" fillId="0" borderId="12" xfId="0" applyBorder="1" applyAlignment="1"/>
    <xf numFmtId="0" fontId="0" fillId="0" borderId="4" xfId="0" applyBorder="1" applyAlignment="1"/>
    <xf numFmtId="0" fontId="0" fillId="0" borderId="13" xfId="0" applyBorder="1" applyAlignment="1"/>
    <xf numFmtId="0" fontId="0" fillId="0" borderId="14" xfId="0" applyBorder="1" applyAlignment="1"/>
    <xf numFmtId="0" fontId="0" fillId="0" borderId="15" xfId="0" applyBorder="1" applyAlignment="1"/>
    <xf numFmtId="0" fontId="0" fillId="0" borderId="16" xfId="0" applyBorder="1" applyAlignment="1"/>
  </cellXfs>
  <cellStyles count="2">
    <cellStyle name="Hyperlink" xfId="1" builtinId="8"/>
    <cellStyle name="Normal" xfId="0" builtinId="0"/>
  </cellStyles>
  <dxfs count="29">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28"/>
      <tableStyleElement type="headerRow" dxfId="27"/>
      <tableStyleElement type="totalRow" dxfId="26"/>
      <tableStyleElement type="firstColumn" dxfId="25"/>
      <tableStyleElement type="lastColumn" dxfId="24"/>
      <tableStyleElement type="firstRowStripe" dxfId="23"/>
      <tableStyleElement type="firstColumnStripe" dxfId="22"/>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E3:J7" totalsRowShown="0">
  <autoFilter ref="E3:J7" xr:uid="{00000000-0009-0000-0100-000002000000}"/>
  <tableColumns count="6">
    <tableColumn id="1" xr3:uid="{00000000-0010-0000-0000-000001000000}" name="STT"/>
    <tableColumn id="2" xr3:uid="{00000000-0010-0000-0000-000002000000}" name="Nhà bảo trợ _x000a_(tên nhà bảo trợ)"/>
    <tableColumn id="3" xr3:uid="{00000000-0010-0000-0000-000003000000}" name="Tư cách_x000a_(loại nhà đầu tư)"/>
    <tableColumn id="4" xr3:uid="{00000000-0010-0000-0000-000004000000}" name="Số điện thoại"/>
    <tableColumn id="5" xr3:uid="{00000000-0010-0000-0000-000005000000}" name="Mail"/>
    <tableColumn id="6" xr3:uid="{00000000-0010-0000-0000-000006000000}" name="Địa chỉ liên hệ"/>
  </tableColumns>
  <tableStyleInfo name="TableStylePreset3_Accen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E6:N13" totalsRowShown="0">
  <autoFilter ref="E6:N13" xr:uid="{00000000-0009-0000-0100-000003000000}"/>
  <tableColumns count="10">
    <tableColumn id="1" xr3:uid="{00000000-0010-0000-0100-000001000000}" name="STT"/>
    <tableColumn id="2" xr3:uid="{00000000-0010-0000-0100-000002000000}" name="Tên PM"/>
    <tableColumn id="3" xr3:uid="{00000000-0010-0000-0100-000003000000}" name="NGÀY TIẾP_x000a_ NHẬN DỰ ÁN"/>
    <tableColumn id="4" xr3:uid="{00000000-0010-0000-0100-000004000000}" name="Chức vụ"/>
    <tableColumn id="5" xr3:uid="{00000000-0010-0000-0100-000005000000}" name="học vị"/>
    <tableColumn id="6" xr3:uid="{00000000-0010-0000-0100-000006000000}" name="Thành tích"/>
    <tableColumn id="7" xr3:uid="{00000000-0010-0000-0100-000007000000}" name="Mail"/>
    <tableColumn id="8" xr3:uid="{00000000-0010-0000-0100-000008000000}" name="Só điện thoại"/>
    <tableColumn id="9" xr3:uid="{00000000-0010-0000-0100-000009000000}" name="Địa chỉ liên hệ"/>
    <tableColumn id="10" xr3:uid="{00000000-0010-0000-0100-00000A000000}" name="Đặc quyền"/>
  </tableColumns>
  <tableStyleInfo name="TableStylePreset3_Accen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B6A071-A498-41A3-ACC0-C5753BD6706F}" name="Table22" displayName="Table22" ref="A4:H13" totalsRowShown="0" headerRowDxfId="11" headerRowBorderDxfId="9" tableBorderDxfId="10" totalsRowBorderDxfId="8">
  <autoFilter ref="A4:H13" xr:uid="{74B6A071-A498-41A3-ACC0-C5753BD6706F}"/>
  <tableColumns count="8">
    <tableColumn id="1" xr3:uid="{12137C46-3011-415A-BF95-CD46B01A419C}" name="stt" dataDxfId="7"/>
    <tableColumn id="2" xr3:uid="{494AB088-499B-4C53-A000-017C4A034661}" name="tên" dataDxfId="6"/>
    <tableColumn id="3" xr3:uid="{C63C41C5-344D-4A81-8AE7-DE8A23A25EEE}" name="Giới thiêu" dataDxfId="5"/>
    <tableColumn id="4" xr3:uid="{61F62E9B-AF86-476E-8518-192E5073F16F}" name="thông tin liên lạc" dataDxfId="4"/>
    <tableColumn id="5" xr3:uid="{FF483BF8-A591-4B25-9903-8A315231BBC9}" name="Dự án thành công" dataDxfId="3"/>
    <tableColumn id="6" xr3:uid="{B6BEB820-4CB5-472B-AD03-A03FABB6D5C6}" name="Dự án thất bại" dataDxfId="2"/>
    <tableColumn id="7" xr3:uid="{8DB2DA93-2213-48A1-81D3-6E74144752A7}" name="tác đông tiêu cực đến dự án" dataDxfId="1"/>
    <tableColumn id="8" xr3:uid="{45470FCC-1306-4189-B2AA-F985B626B10D}" name="Tác động tiêu cực đến dự án" dataDxfId="0"/>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mailto:jsjsjsjs@gmail.com" TargetMode="Externa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
  <sheetViews>
    <sheetView workbookViewId="0">
      <selection activeCell="B1" sqref="B1"/>
    </sheetView>
  </sheetViews>
  <sheetFormatPr defaultColWidth="9.140625" defaultRowHeight="15"/>
  <cols>
    <col min="1" max="1" width="15.5703125" customWidth="1"/>
    <col min="2" max="2" width="18.140625" customWidth="1"/>
  </cols>
  <sheetData>
    <row r="1" spans="1:3">
      <c r="A1" s="1" t="s">
        <v>0</v>
      </c>
      <c r="B1" s="13" t="s">
        <v>1</v>
      </c>
      <c r="C1" s="1"/>
    </row>
    <row r="2" spans="1:3">
      <c r="A2" s="1" t="s">
        <v>2</v>
      </c>
      <c r="B2" s="1" t="s">
        <v>3</v>
      </c>
      <c r="C2" s="1"/>
    </row>
    <row r="3" spans="1:3" ht="60">
      <c r="A3" s="1" t="s">
        <v>4</v>
      </c>
      <c r="B3" s="7" t="s">
        <v>5</v>
      </c>
      <c r="C3" s="1"/>
    </row>
    <row r="4" spans="1:3">
      <c r="A4" s="1" t="s">
        <v>6</v>
      </c>
      <c r="B4" s="1" t="s">
        <v>7</v>
      </c>
      <c r="C4" s="1" t="s">
        <v>8</v>
      </c>
    </row>
    <row r="5" spans="1:3">
      <c r="A5" s="1" t="s">
        <v>9</v>
      </c>
      <c r="B5" s="1">
        <v>0.1</v>
      </c>
      <c r="C5" s="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
  <sheetViews>
    <sheetView zoomScale="115" zoomScaleNormal="115" workbookViewId="0">
      <selection activeCell="B14" sqref="B14"/>
    </sheetView>
  </sheetViews>
  <sheetFormatPr defaultColWidth="9.140625" defaultRowHeight="15"/>
  <cols>
    <col min="1" max="1" width="18.28515625" customWidth="1"/>
    <col min="2" max="2" width="78.5703125" customWidth="1"/>
    <col min="5" max="5" width="15.5703125" customWidth="1"/>
    <col min="6" max="6" width="24.7109375" customWidth="1"/>
    <col min="7" max="7" width="30.7109375" customWidth="1"/>
    <col min="8" max="8" width="13.7109375" customWidth="1"/>
    <col min="9" max="9" width="5.5703125" customWidth="1"/>
    <col min="10" max="10" width="22" customWidth="1"/>
  </cols>
  <sheetData>
    <row r="1" spans="1:10">
      <c r="A1" s="1" t="s">
        <v>10</v>
      </c>
      <c r="B1" s="1" t="s">
        <v>11</v>
      </c>
    </row>
    <row r="2" spans="1:10" ht="60">
      <c r="A2" s="11" t="s">
        <v>12</v>
      </c>
      <c r="B2" s="14" t="s">
        <v>13</v>
      </c>
    </row>
    <row r="3" spans="1:10" ht="35.1" customHeight="1">
      <c r="A3" s="1" t="s">
        <v>6</v>
      </c>
      <c r="B3" s="1" t="s">
        <v>14</v>
      </c>
      <c r="E3" t="s">
        <v>15</v>
      </c>
      <c r="F3" s="8" t="s">
        <v>16</v>
      </c>
      <c r="G3" s="8" t="s">
        <v>17</v>
      </c>
      <c r="H3" t="s">
        <v>18</v>
      </c>
      <c r="I3" t="s">
        <v>19</v>
      </c>
      <c r="J3" t="s">
        <v>20</v>
      </c>
    </row>
    <row r="4" spans="1:10">
      <c r="A4" s="1" t="s">
        <v>21</v>
      </c>
      <c r="B4" s="1">
        <v>0.1</v>
      </c>
      <c r="E4">
        <v>1</v>
      </c>
      <c r="F4" t="s">
        <v>11</v>
      </c>
      <c r="G4" t="s">
        <v>22</v>
      </c>
      <c r="H4" t="s">
        <v>23</v>
      </c>
      <c r="I4" t="s">
        <v>24</v>
      </c>
      <c r="J4" t="s">
        <v>25</v>
      </c>
    </row>
    <row r="5" spans="1:10">
      <c r="A5" s="1" t="s">
        <v>26</v>
      </c>
      <c r="B5" s="1" t="s">
        <v>27</v>
      </c>
      <c r="E5">
        <v>2</v>
      </c>
    </row>
    <row r="6" spans="1:10">
      <c r="E6" t="s">
        <v>28</v>
      </c>
      <c r="F6" t="s">
        <v>28</v>
      </c>
      <c r="G6" t="s">
        <v>29</v>
      </c>
      <c r="H6" t="s">
        <v>29</v>
      </c>
      <c r="I6" t="s">
        <v>29</v>
      </c>
      <c r="J6" t="s">
        <v>29</v>
      </c>
    </row>
    <row r="8" spans="1:10">
      <c r="E8" t="s">
        <v>6</v>
      </c>
      <c r="F8" t="s">
        <v>14</v>
      </c>
    </row>
    <row r="9" spans="1:10">
      <c r="E9" t="s">
        <v>9</v>
      </c>
      <c r="F9">
        <v>0.1</v>
      </c>
    </row>
    <row r="10" spans="1:10">
      <c r="E10" t="s">
        <v>30</v>
      </c>
      <c r="F10" t="s">
        <v>27</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
  <sheetViews>
    <sheetView workbookViewId="0">
      <selection activeCell="C18" sqref="C18"/>
    </sheetView>
  </sheetViews>
  <sheetFormatPr defaultColWidth="9.140625" defaultRowHeight="15"/>
  <cols>
    <col min="1" max="1" width="21.5703125" customWidth="1"/>
    <col min="2" max="2" width="24.7109375" customWidth="1"/>
    <col min="7" max="7" width="16.140625" customWidth="1"/>
    <col min="10" max="10" width="10.85546875" customWidth="1"/>
    <col min="11" max="11" width="5.5703125" customWidth="1"/>
    <col min="12" max="12" width="13.7109375" customWidth="1"/>
    <col min="13" max="13" width="14.7109375" customWidth="1"/>
    <col min="14" max="14" width="11" customWidth="1"/>
  </cols>
  <sheetData>
    <row r="1" spans="1:14">
      <c r="A1" s="1" t="s">
        <v>0</v>
      </c>
      <c r="B1" s="15" t="s">
        <v>1</v>
      </c>
    </row>
    <row r="2" spans="1:14">
      <c r="A2" s="1" t="s">
        <v>31</v>
      </c>
      <c r="B2" s="1" t="s">
        <v>32</v>
      </c>
    </row>
    <row r="3" spans="1:14" ht="75">
      <c r="A3" s="1" t="s">
        <v>12</v>
      </c>
      <c r="B3" s="14" t="s">
        <v>33</v>
      </c>
    </row>
    <row r="4" spans="1:14">
      <c r="A4" s="1" t="s">
        <v>34</v>
      </c>
      <c r="B4" s="1" t="s">
        <v>35</v>
      </c>
    </row>
    <row r="5" spans="1:14">
      <c r="A5" s="1" t="s">
        <v>6</v>
      </c>
      <c r="B5" s="1" t="s">
        <v>14</v>
      </c>
    </row>
    <row r="6" spans="1:14" ht="30">
      <c r="A6" s="1" t="s">
        <v>36</v>
      </c>
      <c r="B6" s="1">
        <v>0.1</v>
      </c>
      <c r="E6" t="s">
        <v>15</v>
      </c>
      <c r="F6" t="s">
        <v>31</v>
      </c>
      <c r="G6" s="8" t="s">
        <v>37</v>
      </c>
      <c r="H6" t="s">
        <v>38</v>
      </c>
      <c r="I6" t="s">
        <v>39</v>
      </c>
      <c r="J6" t="s">
        <v>40</v>
      </c>
      <c r="K6" t="s">
        <v>19</v>
      </c>
      <c r="L6" t="s">
        <v>41</v>
      </c>
      <c r="M6" t="s">
        <v>20</v>
      </c>
      <c r="N6" t="s">
        <v>42</v>
      </c>
    </row>
    <row r="7" spans="1:14">
      <c r="E7">
        <v>1</v>
      </c>
      <c r="F7" t="s">
        <v>32</v>
      </c>
      <c r="G7" s="9">
        <v>46328</v>
      </c>
      <c r="H7" t="s">
        <v>43</v>
      </c>
      <c r="I7" t="s">
        <v>44</v>
      </c>
      <c r="J7" t="s">
        <v>44</v>
      </c>
      <c r="K7" s="10" t="s">
        <v>45</v>
      </c>
      <c r="M7" t="s">
        <v>46</v>
      </c>
      <c r="N7" t="s">
        <v>47</v>
      </c>
    </row>
    <row r="8" spans="1:14">
      <c r="E8">
        <v>2</v>
      </c>
    </row>
    <row r="9" spans="1:14">
      <c r="E9">
        <v>3</v>
      </c>
    </row>
    <row r="10" spans="1:14">
      <c r="E10" t="s">
        <v>28</v>
      </c>
    </row>
    <row r="12" spans="1:14">
      <c r="E12" t="s">
        <v>6</v>
      </c>
      <c r="F12" t="s">
        <v>14</v>
      </c>
    </row>
    <row r="13" spans="1:14">
      <c r="E13" t="s">
        <v>21</v>
      </c>
      <c r="F13">
        <v>0.1</v>
      </c>
    </row>
  </sheetData>
  <hyperlinks>
    <hyperlink ref="K7" r:id="rId1" xr:uid="{00000000-0004-0000-0200-000000000000}"/>
  </hyperlinks>
  <pageMargins left="0.75" right="0.75" top="1" bottom="1" header="0.5" footer="0.5"/>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election activeCell="O21" sqref="O21"/>
    </sheetView>
  </sheetViews>
  <sheetFormatPr defaultColWidth="9.140625" defaultRowHeight="15"/>
  <cols>
    <col min="1" max="1" width="19.140625" customWidth="1"/>
    <col min="2" max="2" width="52.7109375" customWidth="1"/>
  </cols>
  <sheetData>
    <row r="1" spans="1:2">
      <c r="A1" s="1" t="s">
        <v>0</v>
      </c>
      <c r="B1" s="15" t="s">
        <v>1</v>
      </c>
    </row>
    <row r="2" spans="1:2">
      <c r="A2" s="1" t="s">
        <v>48</v>
      </c>
      <c r="B2" s="1" t="s">
        <v>49</v>
      </c>
    </row>
    <row r="3" spans="1:2">
      <c r="A3" s="2" t="s">
        <v>50</v>
      </c>
      <c r="B3" s="2" t="s">
        <v>51</v>
      </c>
    </row>
    <row r="4" spans="1:2">
      <c r="A4" s="1">
        <v>1</v>
      </c>
      <c r="B4" s="1" t="s">
        <v>52</v>
      </c>
    </row>
    <row r="5" spans="1:2">
      <c r="A5" s="1">
        <v>2</v>
      </c>
      <c r="B5" s="1" t="s">
        <v>53</v>
      </c>
    </row>
    <row r="6" spans="1:2">
      <c r="A6" s="1">
        <v>3</v>
      </c>
      <c r="B6" s="1" t="s">
        <v>54</v>
      </c>
    </row>
    <row r="7" spans="1:2">
      <c r="A7" s="1">
        <v>4</v>
      </c>
      <c r="B7" s="1" t="s">
        <v>55</v>
      </c>
    </row>
    <row r="8" spans="1:2">
      <c r="A8" s="3" t="s">
        <v>6</v>
      </c>
      <c r="B8" s="4" t="s">
        <v>14</v>
      </c>
    </row>
    <row r="9" spans="1:2">
      <c r="A9" s="3" t="s">
        <v>36</v>
      </c>
      <c r="B9" s="4">
        <v>0.1</v>
      </c>
    </row>
    <row r="10" spans="1:2">
      <c r="A10" s="5"/>
      <c r="B10"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D149F-16C8-49B5-87A3-61D6B74364D8}">
  <dimension ref="A1:G15"/>
  <sheetViews>
    <sheetView zoomScale="145" zoomScaleNormal="145" workbookViewId="0">
      <selection activeCell="C7" sqref="C7"/>
    </sheetView>
  </sheetViews>
  <sheetFormatPr defaultRowHeight="15"/>
  <cols>
    <col min="1" max="1" width="15.42578125" style="22" customWidth="1"/>
    <col min="2" max="2" width="17" style="22" customWidth="1"/>
    <col min="3" max="3" width="38.140625" style="22" customWidth="1"/>
    <col min="4" max="4" width="13.42578125" style="22" customWidth="1"/>
    <col min="5" max="5" width="32.140625" style="22" customWidth="1"/>
    <col min="6" max="6" width="19.140625" style="22" customWidth="1"/>
  </cols>
  <sheetData>
    <row r="1" spans="1:7">
      <c r="A1" s="16" t="s">
        <v>0</v>
      </c>
      <c r="B1" s="23" t="s">
        <v>1</v>
      </c>
      <c r="C1" s="23"/>
    </row>
    <row r="2" spans="1:7" s="22" customFormat="1">
      <c r="A2" s="35" t="s">
        <v>73</v>
      </c>
      <c r="B2" s="36"/>
      <c r="C2" s="36"/>
      <c r="D2" s="36"/>
      <c r="E2" s="36"/>
      <c r="F2" s="36"/>
      <c r="G2" s="37"/>
    </row>
    <row r="3" spans="1:7" s="22" customFormat="1">
      <c r="A3" s="17"/>
      <c r="B3" s="17"/>
      <c r="C3" s="33" t="s">
        <v>71</v>
      </c>
      <c r="D3" s="33"/>
      <c r="E3" s="34" t="s">
        <v>72</v>
      </c>
      <c r="F3" s="34"/>
    </row>
    <row r="4" spans="1:7" ht="45">
      <c r="A4" s="18" t="s">
        <v>56</v>
      </c>
      <c r="B4" s="12" t="s">
        <v>60</v>
      </c>
      <c r="C4" s="31" t="s">
        <v>69</v>
      </c>
      <c r="D4" s="17"/>
      <c r="E4" s="32" t="s">
        <v>70</v>
      </c>
      <c r="F4" s="28" t="s">
        <v>67</v>
      </c>
    </row>
    <row r="5" spans="1:7" ht="60">
      <c r="A5" s="18"/>
      <c r="B5" s="12" t="s">
        <v>61</v>
      </c>
      <c r="C5" s="17" t="s">
        <v>63</v>
      </c>
      <c r="D5" s="17"/>
      <c r="E5" s="27" t="s">
        <v>65</v>
      </c>
      <c r="F5" s="28"/>
    </row>
    <row r="6" spans="1:7" ht="165">
      <c r="A6" s="18"/>
      <c r="B6" s="12" t="s">
        <v>62</v>
      </c>
      <c r="C6" s="31" t="s">
        <v>74</v>
      </c>
      <c r="D6" s="17"/>
      <c r="E6" s="28" t="s">
        <v>66</v>
      </c>
      <c r="F6" s="28" t="s">
        <v>68</v>
      </c>
    </row>
    <row r="7" spans="1:7" ht="60">
      <c r="A7" s="18" t="s">
        <v>57</v>
      </c>
      <c r="B7" s="24" t="s">
        <v>60</v>
      </c>
      <c r="C7" s="31" t="s">
        <v>75</v>
      </c>
      <c r="D7" s="17"/>
      <c r="E7" s="32" t="s">
        <v>78</v>
      </c>
      <c r="F7" s="28" t="s">
        <v>67</v>
      </c>
    </row>
    <row r="8" spans="1:7" ht="60">
      <c r="A8" s="18"/>
      <c r="B8" s="24" t="s">
        <v>61</v>
      </c>
      <c r="C8" s="25" t="s">
        <v>76</v>
      </c>
      <c r="D8" s="17"/>
      <c r="E8" s="29" t="s">
        <v>65</v>
      </c>
      <c r="F8" s="30"/>
    </row>
    <row r="9" spans="1:7" ht="60">
      <c r="A9" s="18"/>
      <c r="B9" s="24" t="s">
        <v>62</v>
      </c>
      <c r="C9" s="31" t="s">
        <v>77</v>
      </c>
      <c r="D9" s="26" t="s">
        <v>64</v>
      </c>
      <c r="E9" s="30"/>
      <c r="F9" s="30"/>
    </row>
    <row r="10" spans="1:7">
      <c r="A10" s="18" t="s">
        <v>58</v>
      </c>
      <c r="B10" s="24" t="s">
        <v>60</v>
      </c>
      <c r="C10" s="17"/>
      <c r="D10" s="17"/>
      <c r="E10" s="30"/>
      <c r="F10" s="30"/>
    </row>
    <row r="11" spans="1:7">
      <c r="A11" s="18"/>
      <c r="B11" s="24" t="s">
        <v>61</v>
      </c>
      <c r="C11" s="17"/>
      <c r="D11" s="17"/>
      <c r="E11" s="30"/>
      <c r="F11" s="30"/>
    </row>
    <row r="12" spans="1:7">
      <c r="A12" s="18"/>
      <c r="B12" s="24" t="s">
        <v>62</v>
      </c>
      <c r="C12" s="17"/>
      <c r="D12" s="17"/>
      <c r="E12" s="30"/>
      <c r="F12" s="30"/>
    </row>
    <row r="13" spans="1:7">
      <c r="A13" s="19"/>
    </row>
    <row r="14" spans="1:7">
      <c r="A14" s="20" t="s">
        <v>59</v>
      </c>
      <c r="B14" s="38" t="s">
        <v>8</v>
      </c>
    </row>
    <row r="15" spans="1:7" ht="15.75" thickBot="1">
      <c r="A15" s="21" t="s">
        <v>9</v>
      </c>
      <c r="B15" s="22">
        <v>0.1</v>
      </c>
    </row>
  </sheetData>
  <mergeCells count="6">
    <mergeCell ref="A4:A6"/>
    <mergeCell ref="A7:A9"/>
    <mergeCell ref="A10:A12"/>
    <mergeCell ref="C3:D3"/>
    <mergeCell ref="E3:F3"/>
    <mergeCell ref="A2:F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D5578-8547-45BA-89E3-2CEEE2EF257D}">
  <dimension ref="A1:I31"/>
  <sheetViews>
    <sheetView topLeftCell="B1" zoomScale="190" zoomScaleNormal="190" workbookViewId="0">
      <selection activeCell="B2" sqref="B2"/>
    </sheetView>
  </sheetViews>
  <sheetFormatPr defaultRowHeight="15"/>
  <cols>
    <col min="1" max="1" width="12.85546875" bestFit="1" customWidth="1"/>
    <col min="2" max="2" width="13.5703125" bestFit="1" customWidth="1"/>
    <col min="3" max="3" width="15.140625" bestFit="1" customWidth="1"/>
    <col min="4" max="4" width="40.140625" bestFit="1" customWidth="1"/>
    <col min="5" max="5" width="39.140625" bestFit="1" customWidth="1"/>
    <col min="6" max="6" width="15.28515625" bestFit="1" customWidth="1"/>
    <col min="7" max="7" width="15.140625" bestFit="1" customWidth="1"/>
    <col min="8" max="8" width="7.28515625" bestFit="1" customWidth="1"/>
  </cols>
  <sheetData>
    <row r="1" spans="1:9" s="22" customFormat="1">
      <c r="A1" s="16" t="s">
        <v>0</v>
      </c>
      <c r="B1" s="23" t="s">
        <v>1</v>
      </c>
      <c r="D1" s="20" t="s">
        <v>111</v>
      </c>
    </row>
    <row r="2" spans="1:9" s="22" customFormat="1" ht="15.75" thickBot="1">
      <c r="D2" s="21" t="s">
        <v>9</v>
      </c>
      <c r="E2" s="22">
        <v>0.1</v>
      </c>
    </row>
    <row r="3" spans="1:9" s="22" customFormat="1">
      <c r="A3" s="39" t="s">
        <v>79</v>
      </c>
      <c r="B3" s="39"/>
      <c r="C3" s="39"/>
      <c r="D3" s="39"/>
      <c r="E3" s="39"/>
      <c r="F3" s="39"/>
      <c r="G3" s="39"/>
      <c r="H3" s="39"/>
      <c r="I3" s="39"/>
    </row>
    <row r="4" spans="1:9" s="22" customFormat="1">
      <c r="A4" s="17"/>
      <c r="B4" s="17" t="s">
        <v>80</v>
      </c>
      <c r="C4" s="17" t="s">
        <v>81</v>
      </c>
    </row>
    <row r="5" spans="1:9" s="22" customFormat="1">
      <c r="A5" s="17" t="s">
        <v>82</v>
      </c>
      <c r="B5" s="17">
        <v>1</v>
      </c>
      <c r="C5" s="17" t="s">
        <v>83</v>
      </c>
    </row>
    <row r="6" spans="1:9" s="41" customFormat="1">
      <c r="A6" s="17" t="s">
        <v>84</v>
      </c>
      <c r="B6" s="17">
        <v>2</v>
      </c>
      <c r="C6" s="17" t="s">
        <v>85</v>
      </c>
    </row>
    <row r="7" spans="1:9" s="43" customFormat="1"/>
    <row r="10" spans="1:9" s="22" customFormat="1">
      <c r="D10" s="37" t="s">
        <v>86</v>
      </c>
      <c r="F10" s="22" t="s">
        <v>87</v>
      </c>
    </row>
    <row r="11" spans="1:9" s="22" customFormat="1">
      <c r="D11" s="40" t="s">
        <v>88</v>
      </c>
      <c r="E11" s="40"/>
      <c r="F11" s="40"/>
      <c r="G11" s="40"/>
      <c r="H11" s="40"/>
    </row>
    <row r="12" spans="1:9" s="22" customFormat="1">
      <c r="D12" s="17" t="s">
        <v>89</v>
      </c>
      <c r="E12" s="17" t="s">
        <v>90</v>
      </c>
      <c r="F12" s="17" t="s">
        <v>80</v>
      </c>
      <c r="G12" s="17" t="s">
        <v>81</v>
      </c>
      <c r="H12" s="17" t="s">
        <v>91</v>
      </c>
    </row>
    <row r="13" spans="1:9" s="22" customFormat="1">
      <c r="D13" s="17">
        <v>1</v>
      </c>
      <c r="E13" s="17" t="s">
        <v>92</v>
      </c>
      <c r="F13" s="17">
        <v>5</v>
      </c>
      <c r="G13" s="17" t="s">
        <v>93</v>
      </c>
      <c r="H13" s="17"/>
    </row>
    <row r="14" spans="1:9" s="22" customFormat="1">
      <c r="D14" s="17">
        <v>2</v>
      </c>
      <c r="E14" s="17" t="s">
        <v>94</v>
      </c>
      <c r="F14" s="17">
        <v>6</v>
      </c>
      <c r="G14" s="17" t="s">
        <v>93</v>
      </c>
      <c r="H14" s="17"/>
    </row>
    <row r="15" spans="1:9" s="22" customFormat="1">
      <c r="D15" s="17">
        <v>3</v>
      </c>
      <c r="E15" s="17" t="s">
        <v>95</v>
      </c>
      <c r="F15" s="17">
        <v>3</v>
      </c>
      <c r="G15" s="17" t="s">
        <v>93</v>
      </c>
      <c r="H15" s="17"/>
    </row>
    <row r="16" spans="1:9" s="22" customFormat="1">
      <c r="D16" s="17">
        <v>4</v>
      </c>
      <c r="E16" s="17" t="s">
        <v>96</v>
      </c>
      <c r="F16" s="17">
        <v>6</v>
      </c>
      <c r="G16" s="17" t="s">
        <v>93</v>
      </c>
      <c r="H16" s="17"/>
    </row>
    <row r="17" spans="4:8" s="22" customFormat="1">
      <c r="D17" s="17">
        <v>5</v>
      </c>
      <c r="E17" s="17" t="s">
        <v>97</v>
      </c>
      <c r="F17" s="17">
        <v>12</v>
      </c>
      <c r="G17" s="17" t="s">
        <v>93</v>
      </c>
      <c r="H17" s="17"/>
    </row>
    <row r="18" spans="4:8" s="22" customFormat="1">
      <c r="D18" s="17">
        <v>6</v>
      </c>
      <c r="E18" s="17" t="s">
        <v>98</v>
      </c>
      <c r="F18" s="17">
        <v>1</v>
      </c>
      <c r="G18" s="17" t="s">
        <v>93</v>
      </c>
      <c r="H18" s="17"/>
    </row>
    <row r="19" spans="4:8" s="22" customFormat="1">
      <c r="D19" s="17">
        <v>7</v>
      </c>
      <c r="E19" s="17" t="s">
        <v>99</v>
      </c>
      <c r="F19" s="17">
        <v>2</v>
      </c>
      <c r="G19" s="17" t="s">
        <v>85</v>
      </c>
      <c r="H19" s="17"/>
    </row>
    <row r="20" spans="4:8" s="22" customFormat="1">
      <c r="D20" s="17">
        <v>8</v>
      </c>
      <c r="E20" s="17" t="s">
        <v>100</v>
      </c>
      <c r="F20" s="17">
        <v>1</v>
      </c>
      <c r="G20" s="17" t="s">
        <v>85</v>
      </c>
      <c r="H20" s="17"/>
    </row>
    <row r="21" spans="4:8" s="22" customFormat="1">
      <c r="D21" s="17">
        <v>9</v>
      </c>
      <c r="E21" s="17" t="s">
        <v>101</v>
      </c>
      <c r="F21" s="17">
        <v>1</v>
      </c>
      <c r="G21" s="17" t="s">
        <v>85</v>
      </c>
      <c r="H21" s="17"/>
    </row>
    <row r="22" spans="4:8" s="22" customFormat="1">
      <c r="D22" s="17">
        <v>10</v>
      </c>
      <c r="E22" s="17" t="s">
        <v>104</v>
      </c>
      <c r="F22" s="17">
        <v>3</v>
      </c>
      <c r="G22" s="17" t="s">
        <v>85</v>
      </c>
      <c r="H22" s="17"/>
    </row>
    <row r="23" spans="4:8" s="22" customFormat="1">
      <c r="D23" s="17">
        <v>11</v>
      </c>
      <c r="E23" s="17" t="s">
        <v>102</v>
      </c>
      <c r="F23" s="17">
        <v>3</v>
      </c>
      <c r="G23" s="17" t="s">
        <v>93</v>
      </c>
      <c r="H23" s="17"/>
    </row>
    <row r="24" spans="4:8" s="22" customFormat="1">
      <c r="D24" s="17">
        <v>12</v>
      </c>
      <c r="E24" s="17" t="s">
        <v>103</v>
      </c>
      <c r="F24" s="17">
        <v>6</v>
      </c>
      <c r="G24" s="17" t="s">
        <v>85</v>
      </c>
      <c r="H24" s="17"/>
    </row>
    <row r="27" spans="4:8">
      <c r="D27" t="s">
        <v>105</v>
      </c>
    </row>
    <row r="28" spans="4:8">
      <c r="D28" t="s">
        <v>88</v>
      </c>
      <c r="F28" t="s">
        <v>109</v>
      </c>
    </row>
    <row r="29" spans="4:8">
      <c r="D29" s="1"/>
      <c r="E29" s="1"/>
      <c r="F29" s="1"/>
      <c r="G29" s="1"/>
    </row>
    <row r="30" spans="4:8">
      <c r="D30" s="1" t="s">
        <v>89</v>
      </c>
      <c r="E30" s="1" t="s">
        <v>106</v>
      </c>
      <c r="F30" s="1" t="s">
        <v>107</v>
      </c>
      <c r="G30" s="1" t="s">
        <v>108</v>
      </c>
    </row>
    <row r="31" spans="4:8">
      <c r="D31" s="1">
        <v>1</v>
      </c>
      <c r="E31" s="1" t="s">
        <v>110</v>
      </c>
      <c r="F31" s="1">
        <v>2</v>
      </c>
      <c r="G31" s="1" t="s">
        <v>85</v>
      </c>
    </row>
  </sheetData>
  <mergeCells count="2">
    <mergeCell ref="A3:I3"/>
    <mergeCell ref="D11:H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C0CF2-6CDF-4692-87EA-08AFDF08633A}">
  <dimension ref="A1:I9"/>
  <sheetViews>
    <sheetView zoomScale="265" zoomScaleNormal="265" workbookViewId="0">
      <selection activeCell="F5" sqref="F5"/>
    </sheetView>
  </sheetViews>
  <sheetFormatPr defaultRowHeight="15"/>
  <cols>
    <col min="1" max="1" width="12.85546875" bestFit="1" customWidth="1"/>
    <col min="2" max="2" width="28" bestFit="1" customWidth="1"/>
    <col min="3" max="3" width="15.42578125" bestFit="1" customWidth="1"/>
    <col min="4" max="4" width="7" bestFit="1" customWidth="1"/>
  </cols>
  <sheetData>
    <row r="1" spans="1:9" s="22" customFormat="1">
      <c r="A1" s="16" t="s">
        <v>0</v>
      </c>
      <c r="B1" s="23" t="s">
        <v>1</v>
      </c>
      <c r="C1" s="44" t="s">
        <v>59</v>
      </c>
      <c r="D1" s="17"/>
      <c r="E1" s="22" t="s">
        <v>8</v>
      </c>
    </row>
    <row r="2" spans="1:9" s="22" customFormat="1">
      <c r="C2" s="44" t="s">
        <v>9</v>
      </c>
      <c r="D2" s="17">
        <v>0.1</v>
      </c>
    </row>
    <row r="3" spans="1:9" s="22" customFormat="1">
      <c r="A3" s="39" t="s">
        <v>112</v>
      </c>
      <c r="B3" s="39"/>
      <c r="C3" s="39"/>
      <c r="D3" s="39"/>
      <c r="E3" s="39"/>
      <c r="F3" s="39"/>
      <c r="G3" s="39"/>
      <c r="H3" s="39"/>
      <c r="I3" s="39"/>
    </row>
    <row r="4" spans="1:9" s="22" customFormat="1">
      <c r="A4" s="44" t="s">
        <v>89</v>
      </c>
      <c r="B4" s="44" t="s">
        <v>113</v>
      </c>
      <c r="C4" s="44" t="s">
        <v>114</v>
      </c>
      <c r="D4" s="44" t="s">
        <v>115</v>
      </c>
      <c r="E4" s="45">
        <f>SUM(C5:C8)</f>
        <v>1750000</v>
      </c>
    </row>
    <row r="5" spans="1:9" s="22" customFormat="1">
      <c r="A5" s="17">
        <v>1</v>
      </c>
      <c r="B5" s="17" t="s">
        <v>116</v>
      </c>
      <c r="C5" s="17">
        <v>600000</v>
      </c>
      <c r="D5" s="17" t="s">
        <v>117</v>
      </c>
    </row>
    <row r="6" spans="1:9" s="22" customFormat="1">
      <c r="A6" s="17">
        <v>2</v>
      </c>
      <c r="B6" s="17" t="s">
        <v>118</v>
      </c>
      <c r="C6" s="17">
        <v>500000</v>
      </c>
      <c r="D6" s="17" t="s">
        <v>117</v>
      </c>
    </row>
    <row r="7" spans="1:9" s="22" customFormat="1">
      <c r="A7" s="17">
        <v>3</v>
      </c>
      <c r="B7" s="17" t="s">
        <v>119</v>
      </c>
      <c r="C7" s="17">
        <v>50000</v>
      </c>
      <c r="D7" s="17" t="s">
        <v>117</v>
      </c>
    </row>
    <row r="8" spans="1:9" s="22" customFormat="1">
      <c r="A8" s="17">
        <v>4</v>
      </c>
      <c r="B8" s="17" t="s">
        <v>120</v>
      </c>
      <c r="C8" s="17">
        <v>600000</v>
      </c>
      <c r="D8" s="17" t="s">
        <v>117</v>
      </c>
    </row>
    <row r="9" spans="1:9" s="22" customFormat="1">
      <c r="A9" s="17">
        <v>5</v>
      </c>
      <c r="B9" s="17" t="s">
        <v>121</v>
      </c>
      <c r="C9" s="17">
        <f>E4*0.15</f>
        <v>262500</v>
      </c>
      <c r="D9" s="17" t="s">
        <v>117</v>
      </c>
    </row>
  </sheetData>
  <mergeCells count="1">
    <mergeCell ref="A3:I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5C605-5620-4458-B5F3-0588DC191647}">
  <dimension ref="A1:E10"/>
  <sheetViews>
    <sheetView zoomScale="235" zoomScaleNormal="235" workbookViewId="0">
      <selection activeCell="F13" sqref="F13"/>
    </sheetView>
  </sheetViews>
  <sheetFormatPr defaultRowHeight="15"/>
  <cols>
    <col min="1" max="1" width="20.7109375" bestFit="1" customWidth="1"/>
    <col min="2" max="2" width="22.140625" bestFit="1" customWidth="1"/>
  </cols>
  <sheetData>
    <row r="1" spans="1:5" s="22" customFormat="1">
      <c r="A1" s="16" t="s">
        <v>0</v>
      </c>
      <c r="B1" s="23" t="s">
        <v>1</v>
      </c>
      <c r="C1" s="44" t="s">
        <v>59</v>
      </c>
      <c r="D1" s="17"/>
      <c r="E1" s="22" t="s">
        <v>8</v>
      </c>
    </row>
    <row r="2" spans="1:5" s="22" customFormat="1">
      <c r="C2" s="44" t="s">
        <v>9</v>
      </c>
      <c r="D2" s="17">
        <v>0.1</v>
      </c>
    </row>
    <row r="3" spans="1:5" s="22" customFormat="1"/>
    <row r="4" spans="1:5" s="22" customFormat="1">
      <c r="A4" s="17"/>
      <c r="B4" s="17" t="s">
        <v>122</v>
      </c>
      <c r="C4" s="17" t="s">
        <v>123</v>
      </c>
    </row>
    <row r="5" spans="1:5" s="22" customFormat="1">
      <c r="A5" s="46" t="s">
        <v>124</v>
      </c>
      <c r="B5" s="17"/>
      <c r="C5" s="17"/>
    </row>
    <row r="6" spans="1:5" s="22" customFormat="1">
      <c r="A6" s="47"/>
      <c r="B6" s="17"/>
      <c r="C6" s="17"/>
    </row>
    <row r="7" spans="1:5" s="22" customFormat="1">
      <c r="A7" s="48"/>
      <c r="B7" s="17"/>
      <c r="C7" s="17"/>
    </row>
    <row r="8" spans="1:5" s="22" customFormat="1">
      <c r="A8" s="49" t="s">
        <v>125</v>
      </c>
      <c r="B8" s="17"/>
      <c r="C8" s="17"/>
    </row>
    <row r="9" spans="1:5" s="22" customFormat="1">
      <c r="A9" s="47"/>
      <c r="B9" s="17"/>
      <c r="C9" s="17"/>
    </row>
    <row r="10" spans="1:5" s="22" customFormat="1">
      <c r="A10" s="48"/>
      <c r="B10" s="17"/>
      <c r="C10" s="17"/>
    </row>
  </sheetData>
  <mergeCells count="2">
    <mergeCell ref="A5:A7"/>
    <mergeCell ref="A8:A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5E759-2FE2-41B8-9884-79149D807A5D}">
  <dimension ref="A1:C16"/>
  <sheetViews>
    <sheetView zoomScale="175" zoomScaleNormal="175" workbookViewId="0">
      <selection activeCell="B1" sqref="B1"/>
    </sheetView>
  </sheetViews>
  <sheetFormatPr defaultRowHeight="15"/>
  <cols>
    <col min="1" max="1" width="12.85546875" bestFit="1" customWidth="1"/>
    <col min="2" max="2" width="23.42578125" bestFit="1" customWidth="1"/>
    <col min="3" max="3" width="28.7109375" bestFit="1" customWidth="1"/>
  </cols>
  <sheetData>
    <row r="1" spans="1:3" s="22" customFormat="1">
      <c r="A1" s="16" t="s">
        <v>0</v>
      </c>
      <c r="B1" s="23" t="s">
        <v>1</v>
      </c>
      <c r="C1" s="44" t="s">
        <v>111</v>
      </c>
    </row>
    <row r="2" spans="1:3" s="22" customFormat="1">
      <c r="C2" s="44" t="s">
        <v>160</v>
      </c>
    </row>
    <row r="3" spans="1:3" s="22" customFormat="1"/>
    <row r="4" spans="1:3" s="22" customFormat="1"/>
    <row r="5" spans="1:3" s="22" customFormat="1" ht="17.25">
      <c r="A5" s="50" t="s">
        <v>126</v>
      </c>
      <c r="B5" s="50" t="s">
        <v>127</v>
      </c>
      <c r="C5" s="50" t="s">
        <v>12</v>
      </c>
    </row>
    <row r="6" spans="1:3" s="22" customFormat="1" ht="172.5">
      <c r="A6" s="51" t="s">
        <v>128</v>
      </c>
      <c r="B6" s="52" t="s">
        <v>129</v>
      </c>
      <c r="C6" s="53" t="s">
        <v>130</v>
      </c>
    </row>
    <row r="7" spans="1:3" s="22" customFormat="1" ht="224.25">
      <c r="A7" s="51" t="s">
        <v>131</v>
      </c>
      <c r="B7" s="53" t="s">
        <v>132</v>
      </c>
      <c r="C7" s="54" t="s">
        <v>133</v>
      </c>
    </row>
    <row r="8" spans="1:3" s="22" customFormat="1" ht="120.75">
      <c r="A8" s="51" t="s">
        <v>134</v>
      </c>
      <c r="B8" s="52" t="s">
        <v>135</v>
      </c>
      <c r="C8" s="54" t="s">
        <v>136</v>
      </c>
    </row>
    <row r="9" spans="1:3" s="22" customFormat="1" ht="327.75">
      <c r="A9" s="51" t="s">
        <v>137</v>
      </c>
      <c r="B9" s="53" t="s">
        <v>138</v>
      </c>
      <c r="C9" s="53" t="s">
        <v>139</v>
      </c>
    </row>
    <row r="10" spans="1:3" s="22" customFormat="1" ht="224.25">
      <c r="A10" s="51" t="s">
        <v>140</v>
      </c>
      <c r="B10" s="53" t="s">
        <v>141</v>
      </c>
      <c r="C10" s="53" t="s">
        <v>142</v>
      </c>
    </row>
    <row r="11" spans="1:3" s="22" customFormat="1" ht="258.75">
      <c r="A11" s="51" t="s">
        <v>143</v>
      </c>
      <c r="B11" s="53" t="s">
        <v>144</v>
      </c>
      <c r="C11" s="53" t="s">
        <v>145</v>
      </c>
    </row>
    <row r="12" spans="1:3" s="22" customFormat="1" ht="172.5">
      <c r="A12" s="51" t="s">
        <v>146</v>
      </c>
      <c r="B12" s="52" t="s">
        <v>147</v>
      </c>
      <c r="C12" s="53" t="s">
        <v>148</v>
      </c>
    </row>
    <row r="13" spans="1:3" s="22" customFormat="1" ht="207">
      <c r="A13" s="51" t="s">
        <v>149</v>
      </c>
      <c r="B13" s="52" t="s">
        <v>161</v>
      </c>
      <c r="C13" s="53" t="s">
        <v>150</v>
      </c>
    </row>
    <row r="14" spans="1:3" s="22" customFormat="1" ht="138">
      <c r="A14" s="51" t="s">
        <v>151</v>
      </c>
      <c r="B14" s="53" t="s">
        <v>152</v>
      </c>
      <c r="C14" s="53" t="s">
        <v>153</v>
      </c>
    </row>
    <row r="15" spans="1:3" s="22" customFormat="1" ht="155.25">
      <c r="A15" s="51" t="s">
        <v>154</v>
      </c>
      <c r="B15" s="53" t="s">
        <v>155</v>
      </c>
      <c r="C15" s="53" t="s">
        <v>156</v>
      </c>
    </row>
    <row r="16" spans="1:3" s="22" customFormat="1" ht="17.25">
      <c r="A16" s="55" t="s">
        <v>157</v>
      </c>
      <c r="B16" s="56" t="s">
        <v>158</v>
      </c>
      <c r="C16" s="56" t="s">
        <v>159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E3CE3-B7C3-4767-BFA0-ECFB73278D4B}">
  <dimension ref="A1:H13"/>
  <sheetViews>
    <sheetView tabSelected="1" zoomScale="175" zoomScaleNormal="175" workbookViewId="0">
      <selection activeCell="N14" sqref="N14"/>
    </sheetView>
  </sheetViews>
  <sheetFormatPr defaultRowHeight="15"/>
  <cols>
    <col min="1" max="1" width="12.85546875" bestFit="1" customWidth="1"/>
    <col min="2" max="2" width="13.7109375" bestFit="1" customWidth="1"/>
    <col min="3" max="3" width="15.42578125" bestFit="1" customWidth="1"/>
  </cols>
  <sheetData>
    <row r="1" spans="1:8" s="22" customFormat="1">
      <c r="A1" s="16" t="s">
        <v>0</v>
      </c>
      <c r="B1" s="23" t="s">
        <v>1</v>
      </c>
      <c r="C1" s="44" t="s">
        <v>59</v>
      </c>
      <c r="D1" s="22" t="s">
        <v>8</v>
      </c>
    </row>
    <row r="2" spans="1:8" s="22" customFormat="1">
      <c r="C2" s="44" t="s">
        <v>9</v>
      </c>
      <c r="D2" s="22">
        <v>0.1</v>
      </c>
    </row>
    <row r="3" spans="1:8" s="22" customFormat="1"/>
    <row r="4" spans="1:8" s="22" customFormat="1">
      <c r="A4" s="57" t="s">
        <v>89</v>
      </c>
      <c r="B4" s="58" t="s">
        <v>162</v>
      </c>
      <c r="C4" s="58" t="s">
        <v>163</v>
      </c>
      <c r="D4" s="58" t="s">
        <v>164</v>
      </c>
      <c r="E4" s="58" t="s">
        <v>165</v>
      </c>
      <c r="F4" s="58" t="s">
        <v>166</v>
      </c>
      <c r="G4" s="58" t="s">
        <v>167</v>
      </c>
      <c r="H4" s="59" t="s">
        <v>168</v>
      </c>
    </row>
    <row r="5" spans="1:8" s="22" customFormat="1">
      <c r="A5" s="60"/>
      <c r="B5" s="17"/>
      <c r="C5" s="17"/>
      <c r="D5" s="17"/>
      <c r="E5" s="17"/>
      <c r="F5" s="17"/>
      <c r="G5" s="17"/>
      <c r="H5" s="61"/>
    </row>
    <row r="6" spans="1:8" s="22" customFormat="1">
      <c r="A6" s="60"/>
      <c r="B6" s="17"/>
      <c r="C6" s="17"/>
      <c r="D6" s="17"/>
      <c r="E6" s="17"/>
      <c r="F6" s="17"/>
      <c r="G6" s="17"/>
      <c r="H6" s="61"/>
    </row>
    <row r="7" spans="1:8" s="22" customFormat="1">
      <c r="A7" s="60"/>
      <c r="B7" s="17"/>
      <c r="C7" s="17"/>
      <c r="D7" s="17"/>
      <c r="E7" s="17"/>
      <c r="F7" s="17"/>
      <c r="G7" s="17"/>
      <c r="H7" s="61"/>
    </row>
    <row r="8" spans="1:8" s="22" customFormat="1">
      <c r="A8" s="60"/>
      <c r="B8" s="17"/>
      <c r="C8" s="17"/>
      <c r="D8" s="17"/>
      <c r="E8" s="17"/>
      <c r="F8" s="17"/>
      <c r="G8" s="17"/>
      <c r="H8" s="61"/>
    </row>
    <row r="9" spans="1:8" s="22" customFormat="1">
      <c r="A9" s="60"/>
      <c r="B9" s="17"/>
      <c r="C9" s="17"/>
      <c r="D9" s="17"/>
      <c r="E9" s="17"/>
      <c r="F9" s="17"/>
      <c r="G9" s="17"/>
      <c r="H9" s="61"/>
    </row>
    <row r="10" spans="1:8" s="22" customFormat="1">
      <c r="A10" s="60"/>
      <c r="B10" s="17"/>
      <c r="C10" s="17"/>
      <c r="D10" s="17"/>
      <c r="E10" s="17"/>
      <c r="F10" s="17"/>
      <c r="G10" s="17"/>
      <c r="H10" s="61"/>
    </row>
    <row r="11" spans="1:8" s="22" customFormat="1">
      <c r="A11" s="60"/>
      <c r="B11" s="17"/>
      <c r="C11" s="17"/>
      <c r="D11" s="17"/>
      <c r="E11" s="17"/>
      <c r="F11" s="17"/>
      <c r="G11" s="17"/>
      <c r="H11" s="61"/>
    </row>
    <row r="12" spans="1:8" s="22" customFormat="1">
      <c r="A12" s="60"/>
      <c r="B12" s="17"/>
      <c r="C12" s="17"/>
      <c r="D12" s="17"/>
      <c r="E12" s="17"/>
      <c r="F12" s="17"/>
      <c r="G12" s="17"/>
      <c r="H12" s="61"/>
    </row>
    <row r="13" spans="1:8" s="22" customFormat="1">
      <c r="A13" s="62"/>
      <c r="B13" s="42"/>
      <c r="C13" s="42"/>
      <c r="D13" s="42"/>
      <c r="E13" s="42"/>
      <c r="F13" s="42"/>
      <c r="G13" s="42"/>
      <c r="H13" s="6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Tên dự án</vt:lpstr>
      <vt:lpstr>Người bảo trợ dự án</vt:lpstr>
      <vt:lpstr>Người quản lý dự án</vt:lpstr>
      <vt:lpstr>Mục tiêu đự án</vt:lpstr>
      <vt:lpstr>Phạm vi dự ans5_6</vt:lpstr>
      <vt:lpstr>Thời gian dự kiến</vt:lpstr>
      <vt:lpstr>Chi phí</vt:lpstr>
      <vt:lpstr>Ràng buộc</vt:lpstr>
      <vt:lpstr>rủi ro</vt:lpstr>
      <vt:lpstr>Các bên liên quan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phú lê trần</cp:lastModifiedBy>
  <dcterms:created xsi:type="dcterms:W3CDTF">2025-11-02T06:17:01Z</dcterms:created>
  <dcterms:modified xsi:type="dcterms:W3CDTF">2025-11-03T12:08:57Z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55A5428B5CBB4E69A32218D0E069046D_11</vt:lpwstr>
  </property>
  <property fmtid="{D5CDD505-2E9C-101B-9397-08002B2CF9AE}" pid="3" name="KSOProductBuildVer">
    <vt:lpwstr>2057-12.2.0.23149</vt:lpwstr>
  </property>
</Properties>
</file>